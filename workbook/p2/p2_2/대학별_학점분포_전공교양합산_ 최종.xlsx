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5ZB990-GP50ML\Desktop\"/>
    </mc:Choice>
  </mc:AlternateContent>
  <bookViews>
    <workbookView xWindow="0" yWindow="0" windowWidth="16380" windowHeight="8190" tabRatio="500"/>
  </bookViews>
  <sheets>
    <sheet name="학점분포(전공+교양)" sheetId="1" r:id="rId1"/>
    <sheet name="제외된 대학(매칭 실패)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7" i="1" l="1"/>
  <c r="C57" i="1"/>
  <c r="K57" i="1" s="1"/>
  <c r="M56" i="1"/>
  <c r="I56" i="1"/>
  <c r="C56" i="1"/>
  <c r="G56" i="1" s="1"/>
  <c r="K55" i="1"/>
  <c r="I55" i="1"/>
  <c r="E55" i="1"/>
  <c r="C55" i="1"/>
  <c r="M55" i="1" s="1"/>
  <c r="M54" i="1"/>
  <c r="K54" i="1"/>
  <c r="I54" i="1"/>
  <c r="G54" i="1"/>
  <c r="E54" i="1"/>
  <c r="C54" i="1"/>
  <c r="M53" i="1"/>
  <c r="C53" i="1"/>
  <c r="K53" i="1" s="1"/>
  <c r="M52" i="1"/>
  <c r="I52" i="1"/>
  <c r="C52" i="1"/>
  <c r="G52" i="1" s="1"/>
  <c r="K51" i="1"/>
  <c r="I51" i="1"/>
  <c r="E51" i="1"/>
  <c r="C51" i="1"/>
  <c r="M51" i="1" s="1"/>
  <c r="M50" i="1"/>
  <c r="K50" i="1"/>
  <c r="I50" i="1"/>
  <c r="G50" i="1"/>
  <c r="E50" i="1"/>
  <c r="C50" i="1"/>
  <c r="M49" i="1"/>
  <c r="C49" i="1"/>
  <c r="K49" i="1" s="1"/>
  <c r="M48" i="1"/>
  <c r="I48" i="1"/>
  <c r="C48" i="1"/>
  <c r="G48" i="1" s="1"/>
  <c r="K47" i="1"/>
  <c r="I47" i="1"/>
  <c r="E47" i="1"/>
  <c r="C47" i="1"/>
  <c r="M47" i="1" s="1"/>
  <c r="M46" i="1"/>
  <c r="K46" i="1"/>
  <c r="I46" i="1"/>
  <c r="G46" i="1"/>
  <c r="E46" i="1"/>
  <c r="C46" i="1"/>
  <c r="M45" i="1"/>
  <c r="C45" i="1"/>
  <c r="K45" i="1" s="1"/>
  <c r="M44" i="1"/>
  <c r="I44" i="1"/>
  <c r="C44" i="1"/>
  <c r="G44" i="1" s="1"/>
  <c r="K43" i="1"/>
  <c r="I43" i="1"/>
  <c r="E43" i="1"/>
  <c r="C43" i="1"/>
  <c r="M43" i="1" s="1"/>
  <c r="M42" i="1"/>
  <c r="K42" i="1"/>
  <c r="I42" i="1"/>
  <c r="G42" i="1"/>
  <c r="E42" i="1"/>
  <c r="C42" i="1"/>
  <c r="M41" i="1"/>
  <c r="C41" i="1"/>
  <c r="K41" i="1" s="1"/>
  <c r="M40" i="1"/>
  <c r="I40" i="1"/>
  <c r="C40" i="1"/>
  <c r="G40" i="1" s="1"/>
  <c r="K39" i="1"/>
  <c r="I39" i="1"/>
  <c r="E39" i="1"/>
  <c r="C39" i="1"/>
  <c r="M39" i="1" s="1"/>
  <c r="M38" i="1"/>
  <c r="K38" i="1"/>
  <c r="I38" i="1"/>
  <c r="G38" i="1"/>
  <c r="E38" i="1"/>
  <c r="C38" i="1"/>
  <c r="M37" i="1"/>
  <c r="C37" i="1"/>
  <c r="K37" i="1" s="1"/>
  <c r="M36" i="1"/>
  <c r="I36" i="1"/>
  <c r="C36" i="1"/>
  <c r="G36" i="1" s="1"/>
  <c r="K35" i="1"/>
  <c r="I35" i="1"/>
  <c r="E35" i="1"/>
  <c r="C35" i="1"/>
  <c r="M35" i="1" s="1"/>
  <c r="M34" i="1"/>
  <c r="K34" i="1"/>
  <c r="I34" i="1"/>
  <c r="G34" i="1"/>
  <c r="E34" i="1"/>
  <c r="C34" i="1"/>
  <c r="M33" i="1"/>
  <c r="C33" i="1"/>
  <c r="K33" i="1" s="1"/>
  <c r="M32" i="1"/>
  <c r="I32" i="1"/>
  <c r="C32" i="1"/>
  <c r="G32" i="1" s="1"/>
  <c r="K31" i="1"/>
  <c r="I31" i="1"/>
  <c r="E31" i="1"/>
  <c r="C31" i="1"/>
  <c r="M31" i="1" s="1"/>
  <c r="M30" i="1"/>
  <c r="K30" i="1"/>
  <c r="I30" i="1"/>
  <c r="G30" i="1"/>
  <c r="E30" i="1"/>
  <c r="C30" i="1"/>
  <c r="M29" i="1"/>
  <c r="C29" i="1"/>
  <c r="K29" i="1" s="1"/>
  <c r="M28" i="1"/>
  <c r="I28" i="1"/>
  <c r="C28" i="1"/>
  <c r="G28" i="1" s="1"/>
  <c r="K27" i="1"/>
  <c r="I27" i="1"/>
  <c r="E27" i="1"/>
  <c r="C27" i="1"/>
  <c r="M27" i="1" s="1"/>
  <c r="M26" i="1"/>
  <c r="K26" i="1"/>
  <c r="I26" i="1"/>
  <c r="G26" i="1"/>
  <c r="E26" i="1"/>
  <c r="C26" i="1"/>
  <c r="M25" i="1"/>
  <c r="C25" i="1"/>
  <c r="K25" i="1" s="1"/>
  <c r="M24" i="1"/>
  <c r="I24" i="1"/>
  <c r="C24" i="1"/>
  <c r="G24" i="1" s="1"/>
  <c r="K23" i="1"/>
  <c r="I23" i="1"/>
  <c r="E23" i="1"/>
  <c r="C23" i="1"/>
  <c r="M23" i="1" s="1"/>
  <c r="M22" i="1"/>
  <c r="K22" i="1"/>
  <c r="I22" i="1"/>
  <c r="G22" i="1"/>
  <c r="E22" i="1"/>
  <c r="C22" i="1"/>
  <c r="M21" i="1"/>
  <c r="C21" i="1"/>
  <c r="K21" i="1" s="1"/>
  <c r="M20" i="1"/>
  <c r="I20" i="1"/>
  <c r="C20" i="1"/>
  <c r="G20" i="1" s="1"/>
  <c r="K19" i="1"/>
  <c r="I19" i="1"/>
  <c r="E19" i="1"/>
  <c r="C19" i="1"/>
  <c r="M19" i="1" s="1"/>
  <c r="K18" i="1"/>
  <c r="G18" i="1"/>
  <c r="E18" i="1"/>
  <c r="C18" i="1"/>
  <c r="M18" i="1" s="1"/>
  <c r="M17" i="1"/>
  <c r="C17" i="1"/>
  <c r="K17" i="1" s="1"/>
  <c r="M16" i="1"/>
  <c r="I16" i="1"/>
  <c r="C16" i="1"/>
  <c r="G16" i="1" s="1"/>
  <c r="K15" i="1"/>
  <c r="I15" i="1"/>
  <c r="G15" i="1"/>
  <c r="E15" i="1"/>
  <c r="C15" i="1"/>
  <c r="M15" i="1" s="1"/>
  <c r="G14" i="1"/>
  <c r="E14" i="1"/>
  <c r="C14" i="1"/>
  <c r="M14" i="1" s="1"/>
  <c r="M13" i="1"/>
  <c r="C13" i="1"/>
  <c r="K13" i="1" s="1"/>
  <c r="M12" i="1"/>
  <c r="K12" i="1"/>
  <c r="I12" i="1"/>
  <c r="C12" i="1"/>
  <c r="G12" i="1" s="1"/>
  <c r="K11" i="1"/>
  <c r="I11" i="1"/>
  <c r="G11" i="1"/>
  <c r="E11" i="1"/>
  <c r="C11" i="1"/>
  <c r="M11" i="1" s="1"/>
  <c r="G10" i="1"/>
  <c r="E10" i="1"/>
  <c r="C10" i="1"/>
  <c r="K10" i="1" s="1"/>
  <c r="M9" i="1"/>
  <c r="C9" i="1"/>
  <c r="K9" i="1" s="1"/>
  <c r="M8" i="1"/>
  <c r="K8" i="1"/>
  <c r="I8" i="1"/>
  <c r="C8" i="1"/>
  <c r="G8" i="1" s="1"/>
  <c r="K7" i="1"/>
  <c r="I7" i="1"/>
  <c r="G7" i="1"/>
  <c r="E7" i="1"/>
  <c r="C7" i="1"/>
  <c r="M7" i="1" s="1"/>
  <c r="G6" i="1"/>
  <c r="E6" i="1"/>
  <c r="C6" i="1"/>
  <c r="M6" i="1" s="1"/>
  <c r="M5" i="1"/>
  <c r="C5" i="1"/>
  <c r="K5" i="1" s="1"/>
  <c r="M4" i="1"/>
  <c r="K4" i="1"/>
  <c r="I4" i="1"/>
  <c r="C4" i="1"/>
  <c r="G4" i="1" s="1"/>
  <c r="K16" i="1" l="1"/>
  <c r="G19" i="1"/>
  <c r="K20" i="1"/>
  <c r="G23" i="1"/>
  <c r="K24" i="1"/>
  <c r="G27" i="1"/>
  <c r="K28" i="1"/>
  <c r="G31" i="1"/>
  <c r="K32" i="1"/>
  <c r="G35" i="1"/>
  <c r="K36" i="1"/>
  <c r="G39" i="1"/>
  <c r="K40" i="1"/>
  <c r="G43" i="1"/>
  <c r="K44" i="1"/>
  <c r="G47" i="1"/>
  <c r="K48" i="1"/>
  <c r="G51" i="1"/>
  <c r="K52" i="1"/>
  <c r="G55" i="1"/>
  <c r="K56" i="1"/>
  <c r="E5" i="1"/>
  <c r="I6" i="1"/>
  <c r="E9" i="1"/>
  <c r="I10" i="1"/>
  <c r="E13" i="1"/>
  <c r="I14" i="1"/>
  <c r="E17" i="1"/>
  <c r="I18" i="1"/>
  <c r="E21" i="1"/>
  <c r="E25" i="1"/>
  <c r="E29" i="1"/>
  <c r="E33" i="1"/>
  <c r="E37" i="1"/>
  <c r="E41" i="1"/>
  <c r="E45" i="1"/>
  <c r="E49" i="1"/>
  <c r="E53" i="1"/>
  <c r="E57" i="1"/>
  <c r="K6" i="1"/>
  <c r="G9" i="1"/>
  <c r="K14" i="1"/>
  <c r="G17" i="1"/>
  <c r="G29" i="1"/>
  <c r="G33" i="1"/>
  <c r="G37" i="1"/>
  <c r="G41" i="1"/>
  <c r="G45" i="1"/>
  <c r="G49" i="1"/>
  <c r="G53" i="1"/>
  <c r="G57" i="1"/>
  <c r="G5" i="1"/>
  <c r="E4" i="1"/>
  <c r="E8" i="1"/>
  <c r="I9" i="1"/>
  <c r="M10" i="1"/>
  <c r="E12" i="1"/>
  <c r="I13" i="1"/>
  <c r="E16" i="1"/>
  <c r="I17" i="1"/>
  <c r="E20" i="1"/>
  <c r="I21" i="1"/>
  <c r="E24" i="1"/>
  <c r="I25" i="1"/>
  <c r="E28" i="1"/>
  <c r="I29" i="1"/>
  <c r="E32" i="1"/>
  <c r="I33" i="1"/>
  <c r="E36" i="1"/>
  <c r="I37" i="1"/>
  <c r="E40" i="1"/>
  <c r="I41" i="1"/>
  <c r="E44" i="1"/>
  <c r="I45" i="1"/>
  <c r="E48" i="1"/>
  <c r="I49" i="1"/>
  <c r="E52" i="1"/>
  <c r="I53" i="1"/>
  <c r="E56" i="1"/>
  <c r="I57" i="1"/>
  <c r="G13" i="1"/>
  <c r="G21" i="1"/>
  <c r="G25" i="1"/>
  <c r="I5" i="1"/>
</calcChain>
</file>

<file path=xl/sharedStrings.xml><?xml version="1.0" encoding="utf-8"?>
<sst xmlns="http://schemas.openxmlformats.org/spreadsheetml/2006/main" count="72" uniqueCount="71">
  <si>
    <r>
      <rPr>
        <b/>
        <sz val="14"/>
        <rFont val="Noto Sans CJK SC"/>
        <family val="2"/>
      </rPr>
      <t>대학별 학점</t>
    </r>
    <r>
      <rPr>
        <b/>
        <sz val="14"/>
        <rFont val="Arial"/>
        <family val="2"/>
      </rPr>
      <t xml:space="preserve">(A~F) </t>
    </r>
    <r>
      <rPr>
        <b/>
        <sz val="14"/>
        <rFont val="Noto Sans CJK SC"/>
        <family val="2"/>
      </rPr>
      <t xml:space="preserve">분포 비율 — 전공과목 </t>
    </r>
    <r>
      <rPr>
        <b/>
        <sz val="14"/>
        <rFont val="Arial"/>
        <family val="2"/>
      </rPr>
      <t xml:space="preserve">+ </t>
    </r>
    <r>
      <rPr>
        <b/>
        <sz val="14"/>
        <rFont val="Noto Sans CJK SC"/>
        <family val="2"/>
      </rPr>
      <t xml:space="preserve">교양과목 합산 </t>
    </r>
    <r>
      <rPr>
        <b/>
        <sz val="14"/>
        <rFont val="Arial"/>
        <family val="2"/>
      </rPr>
      <t>(2025</t>
    </r>
    <r>
      <rPr>
        <b/>
        <sz val="14"/>
        <rFont val="Noto Sans CJK SC"/>
        <family val="2"/>
      </rPr>
      <t>년</t>
    </r>
    <r>
      <rPr>
        <b/>
        <sz val="14"/>
        <rFont val="Arial"/>
        <family val="2"/>
      </rPr>
      <t xml:space="preserve">, </t>
    </r>
    <r>
      <rPr>
        <b/>
        <sz val="14"/>
        <rFont val="Noto Sans CJK SC"/>
        <family val="2"/>
      </rPr>
      <t>대학알리미 공시자료</t>
    </r>
    <r>
      <rPr>
        <b/>
        <sz val="14"/>
        <rFont val="Arial"/>
        <family val="2"/>
      </rPr>
      <t>)</t>
    </r>
  </si>
  <si>
    <t>순위</t>
  </si>
  <si>
    <t>대학명</t>
  </si>
  <si>
    <r>
      <rPr>
        <b/>
        <sz val="11"/>
        <color rgb="FFFFFFFF"/>
        <rFont val="Noto Sans CJK SC"/>
        <family val="2"/>
      </rPr>
      <t>총학생수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전공</t>
    </r>
    <r>
      <rPr>
        <b/>
        <sz val="11"/>
        <color rgb="FFFFFFFF"/>
        <rFont val="Arial"/>
        <family val="2"/>
      </rPr>
      <t>+</t>
    </r>
    <r>
      <rPr>
        <b/>
        <sz val="11"/>
        <color rgb="FFFFFFFF"/>
        <rFont val="Noto Sans CJK SC"/>
        <family val="2"/>
      </rPr>
      <t>교양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</si>
  <si>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A </t>
    </r>
    <r>
      <rPr>
        <b/>
        <sz val="11"/>
        <color rgb="FFFFFFFF"/>
        <rFont val="Noto Sans CJK SC"/>
        <family val="2"/>
      </rPr>
      <t>학생수</t>
    </r>
  </si>
  <si>
    <r>
      <rPr>
        <b/>
        <sz val="11"/>
        <color rgb="FFFFFFFF"/>
        <rFont val="Arial"/>
        <family val="2"/>
      </rPr>
      <t xml:space="preserve">A </t>
    </r>
    <r>
      <rPr>
        <b/>
        <sz val="11"/>
        <color rgb="FFFFFFFF"/>
        <rFont val="Noto Sans CJK SC"/>
        <family val="2"/>
      </rPr>
      <t>비율</t>
    </r>
    <r>
      <rPr>
        <b/>
        <sz val="11"/>
        <color rgb="FFFFFFFF"/>
        <rFont val="Arial"/>
        <family val="2"/>
      </rPr>
      <t>(%)</t>
    </r>
  </si>
  <si>
    <r>
      <rPr>
        <b/>
        <sz val="11"/>
        <color rgb="FFFFFFFF"/>
        <rFont val="Arial"/>
        <family val="2"/>
      </rPr>
      <t xml:space="preserve">B </t>
    </r>
    <r>
      <rPr>
        <b/>
        <sz val="11"/>
        <color rgb="FFFFFFFF"/>
        <rFont val="Noto Sans CJK SC"/>
        <family val="2"/>
      </rPr>
      <t>학생수</t>
    </r>
  </si>
  <si>
    <r>
      <rPr>
        <b/>
        <sz val="11"/>
        <color rgb="FFFFFFFF"/>
        <rFont val="Arial"/>
        <family val="2"/>
      </rPr>
      <t xml:space="preserve">B </t>
    </r>
    <r>
      <rPr>
        <b/>
        <sz val="11"/>
        <color rgb="FFFFFFFF"/>
        <rFont val="Noto Sans CJK SC"/>
        <family val="2"/>
      </rPr>
      <t>비율</t>
    </r>
    <r>
      <rPr>
        <b/>
        <sz val="11"/>
        <color rgb="FFFFFFFF"/>
        <rFont val="Arial"/>
        <family val="2"/>
      </rPr>
      <t>(%)</t>
    </r>
  </si>
  <si>
    <r>
      <rPr>
        <b/>
        <sz val="11"/>
        <color rgb="FFFFFFFF"/>
        <rFont val="Arial"/>
        <family val="2"/>
      </rPr>
      <t xml:space="preserve">C </t>
    </r>
    <r>
      <rPr>
        <b/>
        <sz val="11"/>
        <color rgb="FFFFFFFF"/>
        <rFont val="Noto Sans CJK SC"/>
        <family val="2"/>
      </rPr>
      <t>학생수</t>
    </r>
  </si>
  <si>
    <r>
      <rPr>
        <b/>
        <sz val="11"/>
        <color rgb="FFFFFFFF"/>
        <rFont val="Arial"/>
        <family val="2"/>
      </rPr>
      <t xml:space="preserve">C </t>
    </r>
    <r>
      <rPr>
        <b/>
        <sz val="11"/>
        <color rgb="FFFFFFFF"/>
        <rFont val="Noto Sans CJK SC"/>
        <family val="2"/>
      </rPr>
      <t>비율</t>
    </r>
    <r>
      <rPr>
        <b/>
        <sz val="11"/>
        <color rgb="FFFFFFFF"/>
        <rFont val="Arial"/>
        <family val="2"/>
      </rPr>
      <t>(%)</t>
    </r>
  </si>
  <si>
    <r>
      <rPr>
        <b/>
        <sz val="11"/>
        <color rgb="FFFFFFFF"/>
        <rFont val="Arial"/>
        <family val="2"/>
      </rPr>
      <t xml:space="preserve">D </t>
    </r>
    <r>
      <rPr>
        <b/>
        <sz val="11"/>
        <color rgb="FFFFFFFF"/>
        <rFont val="Noto Sans CJK SC"/>
        <family val="2"/>
      </rPr>
      <t>학생수</t>
    </r>
  </si>
  <si>
    <r>
      <rPr>
        <b/>
        <sz val="11"/>
        <color rgb="FFFFFFFF"/>
        <rFont val="Arial"/>
        <family val="2"/>
      </rPr>
      <t xml:space="preserve">D </t>
    </r>
    <r>
      <rPr>
        <b/>
        <sz val="11"/>
        <color rgb="FFFFFFFF"/>
        <rFont val="Noto Sans CJK SC"/>
        <family val="2"/>
      </rPr>
      <t>비율</t>
    </r>
    <r>
      <rPr>
        <b/>
        <sz val="11"/>
        <color rgb="FFFFFFFF"/>
        <rFont val="Arial"/>
        <family val="2"/>
      </rPr>
      <t>(%)</t>
    </r>
  </si>
  <si>
    <r>
      <rPr>
        <b/>
        <sz val="11"/>
        <color rgb="FFFFFFFF"/>
        <rFont val="Arial"/>
        <family val="2"/>
      </rPr>
      <t xml:space="preserve">F </t>
    </r>
    <r>
      <rPr>
        <b/>
        <sz val="11"/>
        <color rgb="FFFFFFFF"/>
        <rFont val="Noto Sans CJK SC"/>
        <family val="2"/>
      </rPr>
      <t>학생수</t>
    </r>
  </si>
  <si>
    <r>
      <rPr>
        <b/>
        <sz val="11"/>
        <color rgb="FFFFFFFF"/>
        <rFont val="Arial"/>
        <family val="2"/>
      </rPr>
      <t xml:space="preserve">F </t>
    </r>
    <r>
      <rPr>
        <b/>
        <sz val="11"/>
        <color rgb="FFFFFFFF"/>
        <rFont val="Noto Sans CJK SC"/>
        <family val="2"/>
      </rPr>
      <t>비율</t>
    </r>
    <r>
      <rPr>
        <b/>
        <sz val="11"/>
        <color rgb="FFFFFFFF"/>
        <rFont val="Arial"/>
        <family val="2"/>
      </rPr>
      <t>(%)</t>
    </r>
  </si>
  <si>
    <t>서울대</t>
  </si>
  <si>
    <t>연세대</t>
  </si>
  <si>
    <t>고려대</t>
  </si>
  <si>
    <t>성균관대</t>
  </si>
  <si>
    <t>서강대</t>
  </si>
  <si>
    <t>카이스트</t>
  </si>
  <si>
    <t>포스텍</t>
  </si>
  <si>
    <t>한양대</t>
  </si>
  <si>
    <t>중앙대</t>
  </si>
  <si>
    <t>경희대</t>
  </si>
  <si>
    <t>시립대</t>
  </si>
  <si>
    <t>외대</t>
  </si>
  <si>
    <t>이화여대</t>
  </si>
  <si>
    <t>유니스트</t>
  </si>
  <si>
    <t>지스트</t>
  </si>
  <si>
    <t>디지스트</t>
  </si>
  <si>
    <t>건국대</t>
  </si>
  <si>
    <t>동국대</t>
  </si>
  <si>
    <t>홍익대</t>
  </si>
  <si>
    <t>아주대</t>
  </si>
  <si>
    <t>인하대</t>
  </si>
  <si>
    <t>숙명여대</t>
  </si>
  <si>
    <t>국민대</t>
  </si>
  <si>
    <t>숭실대</t>
  </si>
  <si>
    <t>세종대</t>
  </si>
  <si>
    <t>단국대</t>
  </si>
  <si>
    <t>부산대</t>
  </si>
  <si>
    <t>경북대</t>
  </si>
  <si>
    <t>항공대</t>
  </si>
  <si>
    <t>서울과기대</t>
  </si>
  <si>
    <t>광운대</t>
  </si>
  <si>
    <t>상명대</t>
  </si>
  <si>
    <t>명지대</t>
  </si>
  <si>
    <t>가톨릭대</t>
  </si>
  <si>
    <t>가천대</t>
  </si>
  <si>
    <t>인천대</t>
  </si>
  <si>
    <t>경기대</t>
  </si>
  <si>
    <t>성신여대</t>
  </si>
  <si>
    <t>충남대</t>
  </si>
  <si>
    <t>전남대</t>
  </si>
  <si>
    <t>전북대</t>
  </si>
  <si>
    <t>충북대</t>
  </si>
  <si>
    <t>부경대</t>
  </si>
  <si>
    <t>영남대</t>
  </si>
  <si>
    <t>강원대</t>
  </si>
  <si>
    <t>울산대</t>
  </si>
  <si>
    <t>제주대</t>
  </si>
  <si>
    <t>덕성여대</t>
  </si>
  <si>
    <t>서울여대</t>
  </si>
  <si>
    <t>동덕여대</t>
  </si>
  <si>
    <t>해양대</t>
  </si>
  <si>
    <t>한림대</t>
  </si>
  <si>
    <t>순천향대</t>
  </si>
  <si>
    <t>수원대</t>
  </si>
  <si>
    <r>
      <rPr>
        <b/>
        <sz val="11"/>
        <rFont val="Noto Sans CJK SC"/>
        <family val="2"/>
      </rPr>
      <t>입력하신 순위 파일에는 있었지만</t>
    </r>
    <r>
      <rPr>
        <b/>
        <sz val="11"/>
        <rFont val="Arial"/>
        <family val="2"/>
      </rPr>
      <t xml:space="preserve">, </t>
    </r>
    <r>
      <rPr>
        <b/>
        <sz val="11"/>
        <rFont val="Noto Sans CJK SC"/>
        <family val="2"/>
      </rPr>
      <t>성적분포 데이터에서 찾지 못해 제외된 대학</t>
    </r>
  </si>
  <si>
    <r>
      <rPr>
        <b/>
        <sz val="11"/>
        <color rgb="FFFFFFFF"/>
        <rFont val="Noto Sans CJK SC"/>
        <family val="2"/>
      </rPr>
      <t>대학명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원본</t>
    </r>
    <r>
      <rPr>
        <b/>
        <sz val="11"/>
        <color rgb="FFFFFFFF"/>
        <rFont val="Arial"/>
        <family val="2"/>
      </rPr>
      <t>)</t>
    </r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</si>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</sst>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4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name val="Noto Sans CJK SC"/>
      <family val="2"/>
    </font>
    <font>
      <b/>
      <sz val="11"/>
      <name val="Noto Sans CJK SC"/>
      <family val="2"/>
    </font>
    <font>
      <b/>
      <sz val="11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7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5" fillId="0" borderId="1" xfId="0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zoomScale="145" zoomScaleNormal="14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0" sqref="E10"/>
    </sheetView>
  </sheetViews>
  <sheetFormatPr defaultColWidth="8.7109375" defaultRowHeight="15"/>
  <cols>
    <col min="1" max="1" width="6" customWidth="1"/>
    <col min="2" max="2" width="12" customWidth="1"/>
    <col min="3" max="3" width="16" customWidth="1"/>
    <col min="4" max="13" width="10" customWidth="1"/>
  </cols>
  <sheetData>
    <row r="1" spans="1:13" ht="18">
      <c r="A1" s="2" t="s">
        <v>0</v>
      </c>
      <c r="B1" s="2"/>
      <c r="C1" s="2"/>
      <c r="D1" s="2"/>
    </row>
    <row r="3" spans="1:13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>
      <c r="A4" s="5">
        <v>1</v>
      </c>
      <c r="B4" s="6" t="s">
        <v>14</v>
      </c>
      <c r="C4" s="7">
        <f t="shared" ref="C4:C35" si="0">D4+F4+H4+J4+L4</f>
        <v>149253</v>
      </c>
      <c r="D4" s="7">
        <v>95505</v>
      </c>
      <c r="E4" s="7">
        <f t="shared" ref="E4:E35" si="1">ROUND(D4/$C4*100,2)</f>
        <v>63.99</v>
      </c>
      <c r="F4" s="7">
        <v>37519</v>
      </c>
      <c r="G4" s="7">
        <f t="shared" ref="G4:G35" si="2">ROUND(F4/$C4*100,2)</f>
        <v>25.14</v>
      </c>
      <c r="H4" s="7">
        <v>12372</v>
      </c>
      <c r="I4" s="7">
        <f t="shared" ref="I4:I35" si="3">ROUND(H4/$C4*100,2)</f>
        <v>8.2899999999999991</v>
      </c>
      <c r="J4" s="7">
        <v>2137</v>
      </c>
      <c r="K4" s="7">
        <f t="shared" ref="K4:K35" si="4">ROUND(J4/$C4*100,2)</f>
        <v>1.43</v>
      </c>
      <c r="L4" s="7">
        <v>1720</v>
      </c>
      <c r="M4" s="7">
        <f t="shared" ref="M4:M35" si="5">ROUND(L4/$C4*100,2)</f>
        <v>1.1499999999999999</v>
      </c>
    </row>
    <row r="5" spans="1:13">
      <c r="A5" s="5">
        <v>2</v>
      </c>
      <c r="B5" s="6" t="s">
        <v>15</v>
      </c>
      <c r="C5" s="7">
        <f t="shared" si="0"/>
        <v>192814</v>
      </c>
      <c r="D5" s="7">
        <v>114532</v>
      </c>
      <c r="E5" s="7">
        <f t="shared" si="1"/>
        <v>59.4</v>
      </c>
      <c r="F5" s="7">
        <v>52529</v>
      </c>
      <c r="G5" s="7">
        <f t="shared" si="2"/>
        <v>27.24</v>
      </c>
      <c r="H5" s="7">
        <v>19276</v>
      </c>
      <c r="I5" s="7">
        <f t="shared" si="3"/>
        <v>10</v>
      </c>
      <c r="J5" s="7">
        <v>3618</v>
      </c>
      <c r="K5" s="7">
        <f t="shared" si="4"/>
        <v>1.88</v>
      </c>
      <c r="L5" s="7">
        <v>2859</v>
      </c>
      <c r="M5" s="7">
        <f t="shared" si="5"/>
        <v>1.48</v>
      </c>
    </row>
    <row r="6" spans="1:13">
      <c r="A6" s="5">
        <v>3</v>
      </c>
      <c r="B6" s="6" t="s">
        <v>16</v>
      </c>
      <c r="C6" s="7">
        <f t="shared" si="0"/>
        <v>214899</v>
      </c>
      <c r="D6" s="7">
        <v>140004</v>
      </c>
      <c r="E6" s="7">
        <f t="shared" si="1"/>
        <v>65.150000000000006</v>
      </c>
      <c r="F6" s="7">
        <v>49911</v>
      </c>
      <c r="G6" s="7">
        <f t="shared" si="2"/>
        <v>23.23</v>
      </c>
      <c r="H6" s="7">
        <v>15162</v>
      </c>
      <c r="I6" s="7">
        <f t="shared" si="3"/>
        <v>7.06</v>
      </c>
      <c r="J6" s="7">
        <v>3677</v>
      </c>
      <c r="K6" s="7">
        <f t="shared" si="4"/>
        <v>1.71</v>
      </c>
      <c r="L6" s="7">
        <v>6145</v>
      </c>
      <c r="M6" s="7">
        <f t="shared" si="5"/>
        <v>2.86</v>
      </c>
    </row>
    <row r="7" spans="1:13">
      <c r="A7" s="5">
        <v>4</v>
      </c>
      <c r="B7" s="6" t="s">
        <v>17</v>
      </c>
      <c r="C7" s="7">
        <f t="shared" si="0"/>
        <v>189889</v>
      </c>
      <c r="D7" s="7">
        <v>104235</v>
      </c>
      <c r="E7" s="7">
        <f t="shared" si="1"/>
        <v>54.89</v>
      </c>
      <c r="F7" s="7">
        <v>61602</v>
      </c>
      <c r="G7" s="7">
        <f t="shared" si="2"/>
        <v>32.44</v>
      </c>
      <c r="H7" s="7">
        <v>15598</v>
      </c>
      <c r="I7" s="7">
        <f t="shared" si="3"/>
        <v>8.2100000000000009</v>
      </c>
      <c r="J7" s="7">
        <v>2519</v>
      </c>
      <c r="K7" s="7">
        <f t="shared" si="4"/>
        <v>1.33</v>
      </c>
      <c r="L7" s="7">
        <v>5935</v>
      </c>
      <c r="M7" s="7">
        <f t="shared" si="5"/>
        <v>3.13</v>
      </c>
    </row>
    <row r="8" spans="1:13">
      <c r="A8" s="5">
        <v>5</v>
      </c>
      <c r="B8" s="6" t="s">
        <v>18</v>
      </c>
      <c r="C8" s="7">
        <f t="shared" si="0"/>
        <v>77109</v>
      </c>
      <c r="D8" s="7">
        <v>30231</v>
      </c>
      <c r="E8" s="7">
        <f t="shared" si="1"/>
        <v>39.21</v>
      </c>
      <c r="F8" s="7">
        <v>28269</v>
      </c>
      <c r="G8" s="7">
        <f t="shared" si="2"/>
        <v>36.659999999999997</v>
      </c>
      <c r="H8" s="7">
        <v>14529</v>
      </c>
      <c r="I8" s="7">
        <f t="shared" si="3"/>
        <v>18.84</v>
      </c>
      <c r="J8" s="7">
        <v>2132</v>
      </c>
      <c r="K8" s="7">
        <f t="shared" si="4"/>
        <v>2.76</v>
      </c>
      <c r="L8" s="7">
        <v>1948</v>
      </c>
      <c r="M8" s="7">
        <f t="shared" si="5"/>
        <v>2.5299999999999998</v>
      </c>
    </row>
    <row r="9" spans="1:13">
      <c r="A9" s="5">
        <v>6</v>
      </c>
      <c r="B9" s="6" t="s">
        <v>19</v>
      </c>
      <c r="C9" s="7">
        <f t="shared" si="0"/>
        <v>33688</v>
      </c>
      <c r="D9" s="7">
        <v>20266</v>
      </c>
      <c r="E9" s="7">
        <f t="shared" si="1"/>
        <v>60.16</v>
      </c>
      <c r="F9" s="7">
        <v>10323</v>
      </c>
      <c r="G9" s="7">
        <f t="shared" si="2"/>
        <v>30.64</v>
      </c>
      <c r="H9" s="7">
        <v>2310</v>
      </c>
      <c r="I9" s="7">
        <f t="shared" si="3"/>
        <v>6.86</v>
      </c>
      <c r="J9" s="7">
        <v>395</v>
      </c>
      <c r="K9" s="7">
        <f t="shared" si="4"/>
        <v>1.17</v>
      </c>
      <c r="L9" s="7">
        <v>394</v>
      </c>
      <c r="M9" s="7">
        <f t="shared" si="5"/>
        <v>1.17</v>
      </c>
    </row>
    <row r="10" spans="1:13">
      <c r="A10" s="5">
        <v>7</v>
      </c>
      <c r="B10" s="6" t="s">
        <v>20</v>
      </c>
      <c r="C10" s="7">
        <f t="shared" si="0"/>
        <v>12860</v>
      </c>
      <c r="D10" s="7">
        <v>7612</v>
      </c>
      <c r="E10" s="7">
        <f t="shared" si="1"/>
        <v>59.19</v>
      </c>
      <c r="F10" s="7">
        <v>4575</v>
      </c>
      <c r="G10" s="7">
        <f t="shared" si="2"/>
        <v>35.58</v>
      </c>
      <c r="H10" s="7">
        <v>581</v>
      </c>
      <c r="I10" s="7">
        <f t="shared" si="3"/>
        <v>4.5199999999999996</v>
      </c>
      <c r="J10" s="7">
        <v>47</v>
      </c>
      <c r="K10" s="7">
        <f t="shared" si="4"/>
        <v>0.37</v>
      </c>
      <c r="L10" s="7">
        <v>45</v>
      </c>
      <c r="M10" s="7">
        <f t="shared" si="5"/>
        <v>0.35</v>
      </c>
    </row>
    <row r="11" spans="1:13">
      <c r="A11" s="5">
        <v>8</v>
      </c>
      <c r="B11" s="6" t="s">
        <v>21</v>
      </c>
      <c r="C11" s="7">
        <f t="shared" si="0"/>
        <v>159419</v>
      </c>
      <c r="D11" s="7">
        <v>81296</v>
      </c>
      <c r="E11" s="7">
        <f t="shared" si="1"/>
        <v>51</v>
      </c>
      <c r="F11" s="7">
        <v>46877</v>
      </c>
      <c r="G11" s="7">
        <f t="shared" si="2"/>
        <v>29.4</v>
      </c>
      <c r="H11" s="7">
        <v>21327</v>
      </c>
      <c r="I11" s="7">
        <f t="shared" si="3"/>
        <v>13.38</v>
      </c>
      <c r="J11" s="7">
        <v>3782</v>
      </c>
      <c r="K11" s="7">
        <f t="shared" si="4"/>
        <v>2.37</v>
      </c>
      <c r="L11" s="7">
        <v>6137</v>
      </c>
      <c r="M11" s="7">
        <f t="shared" si="5"/>
        <v>3.85</v>
      </c>
    </row>
    <row r="12" spans="1:13">
      <c r="A12" s="5">
        <v>9</v>
      </c>
      <c r="B12" s="6" t="s">
        <v>22</v>
      </c>
      <c r="C12" s="7">
        <f t="shared" si="0"/>
        <v>200156</v>
      </c>
      <c r="D12" s="7">
        <v>85155</v>
      </c>
      <c r="E12" s="7">
        <f t="shared" si="1"/>
        <v>42.54</v>
      </c>
      <c r="F12" s="7">
        <v>71350</v>
      </c>
      <c r="G12" s="7">
        <f t="shared" si="2"/>
        <v>35.65</v>
      </c>
      <c r="H12" s="7">
        <v>32372</v>
      </c>
      <c r="I12" s="7">
        <f t="shared" si="3"/>
        <v>16.170000000000002</v>
      </c>
      <c r="J12" s="7">
        <v>4831</v>
      </c>
      <c r="K12" s="7">
        <f t="shared" si="4"/>
        <v>2.41</v>
      </c>
      <c r="L12" s="7">
        <v>6448</v>
      </c>
      <c r="M12" s="7">
        <f t="shared" si="5"/>
        <v>3.22</v>
      </c>
    </row>
    <row r="13" spans="1:13">
      <c r="A13" s="5">
        <v>10</v>
      </c>
      <c r="B13" s="6" t="s">
        <v>23</v>
      </c>
      <c r="C13" s="7">
        <f t="shared" si="0"/>
        <v>266181</v>
      </c>
      <c r="D13" s="7">
        <v>125632</v>
      </c>
      <c r="E13" s="7">
        <f t="shared" si="1"/>
        <v>47.2</v>
      </c>
      <c r="F13" s="7">
        <v>100607</v>
      </c>
      <c r="G13" s="7">
        <f t="shared" si="2"/>
        <v>37.799999999999997</v>
      </c>
      <c r="H13" s="7">
        <v>25178</v>
      </c>
      <c r="I13" s="7">
        <f t="shared" si="3"/>
        <v>9.4600000000000009</v>
      </c>
      <c r="J13" s="7">
        <v>6774</v>
      </c>
      <c r="K13" s="7">
        <f t="shared" si="4"/>
        <v>2.54</v>
      </c>
      <c r="L13" s="7">
        <v>7990</v>
      </c>
      <c r="M13" s="7">
        <f t="shared" si="5"/>
        <v>3</v>
      </c>
    </row>
    <row r="14" spans="1:13">
      <c r="A14" s="5">
        <v>11</v>
      </c>
      <c r="B14" s="6" t="s">
        <v>24</v>
      </c>
      <c r="C14" s="7">
        <f t="shared" si="0"/>
        <v>82117</v>
      </c>
      <c r="D14" s="7">
        <v>34643</v>
      </c>
      <c r="E14" s="7">
        <f t="shared" si="1"/>
        <v>42.19</v>
      </c>
      <c r="F14" s="7">
        <v>32792</v>
      </c>
      <c r="G14" s="7">
        <f t="shared" si="2"/>
        <v>39.93</v>
      </c>
      <c r="H14" s="7">
        <v>9242</v>
      </c>
      <c r="I14" s="7">
        <f t="shared" si="3"/>
        <v>11.25</v>
      </c>
      <c r="J14" s="7">
        <v>1739</v>
      </c>
      <c r="K14" s="7">
        <f t="shared" si="4"/>
        <v>2.12</v>
      </c>
      <c r="L14" s="7">
        <v>3701</v>
      </c>
      <c r="M14" s="7">
        <f t="shared" si="5"/>
        <v>4.51</v>
      </c>
    </row>
    <row r="15" spans="1:13">
      <c r="A15" s="5">
        <v>12</v>
      </c>
      <c r="B15" s="6" t="s">
        <v>25</v>
      </c>
      <c r="C15" s="7">
        <f t="shared" si="0"/>
        <v>168251</v>
      </c>
      <c r="D15" s="7">
        <v>66277</v>
      </c>
      <c r="E15" s="7">
        <f t="shared" si="1"/>
        <v>39.39</v>
      </c>
      <c r="F15" s="7">
        <v>58474</v>
      </c>
      <c r="G15" s="7">
        <f t="shared" si="2"/>
        <v>34.75</v>
      </c>
      <c r="H15" s="7">
        <v>33840</v>
      </c>
      <c r="I15" s="7">
        <f t="shared" si="3"/>
        <v>20.11</v>
      </c>
      <c r="J15" s="7">
        <v>4635</v>
      </c>
      <c r="K15" s="7">
        <f t="shared" si="4"/>
        <v>2.75</v>
      </c>
      <c r="L15" s="7">
        <v>5025</v>
      </c>
      <c r="M15" s="7">
        <f t="shared" si="5"/>
        <v>2.99</v>
      </c>
    </row>
    <row r="16" spans="1:13">
      <c r="A16" s="5">
        <v>13</v>
      </c>
      <c r="B16" s="6" t="s">
        <v>26</v>
      </c>
      <c r="C16" s="7">
        <f t="shared" si="0"/>
        <v>150044</v>
      </c>
      <c r="D16" s="7">
        <v>94310</v>
      </c>
      <c r="E16" s="7">
        <f t="shared" si="1"/>
        <v>62.85</v>
      </c>
      <c r="F16" s="7">
        <v>39712</v>
      </c>
      <c r="G16" s="7">
        <f t="shared" si="2"/>
        <v>26.47</v>
      </c>
      <c r="H16" s="7">
        <v>11653</v>
      </c>
      <c r="I16" s="7">
        <f t="shared" si="3"/>
        <v>7.77</v>
      </c>
      <c r="J16" s="7">
        <v>2083</v>
      </c>
      <c r="K16" s="7">
        <f t="shared" si="4"/>
        <v>1.39</v>
      </c>
      <c r="L16" s="7">
        <v>2286</v>
      </c>
      <c r="M16" s="7">
        <f t="shared" si="5"/>
        <v>1.52</v>
      </c>
    </row>
    <row r="17" spans="1:13">
      <c r="A17" s="5">
        <v>14</v>
      </c>
      <c r="B17" s="6" t="s">
        <v>27</v>
      </c>
      <c r="C17" s="7">
        <f t="shared" si="0"/>
        <v>14930</v>
      </c>
      <c r="D17" s="7">
        <v>8112</v>
      </c>
      <c r="E17" s="7">
        <f t="shared" si="1"/>
        <v>54.33</v>
      </c>
      <c r="F17" s="7">
        <v>5006</v>
      </c>
      <c r="G17" s="7">
        <f t="shared" si="2"/>
        <v>33.53</v>
      </c>
      <c r="H17" s="7">
        <v>1415</v>
      </c>
      <c r="I17" s="7">
        <f t="shared" si="3"/>
        <v>9.48</v>
      </c>
      <c r="J17" s="7">
        <v>203</v>
      </c>
      <c r="K17" s="7">
        <f t="shared" si="4"/>
        <v>1.36</v>
      </c>
      <c r="L17" s="7">
        <v>194</v>
      </c>
      <c r="M17" s="7">
        <f t="shared" si="5"/>
        <v>1.3</v>
      </c>
    </row>
    <row r="18" spans="1:13">
      <c r="A18" s="5">
        <v>15</v>
      </c>
      <c r="B18" s="6" t="s">
        <v>28</v>
      </c>
      <c r="C18" s="7">
        <f t="shared" si="0"/>
        <v>7209</v>
      </c>
      <c r="D18" s="7">
        <v>3550</v>
      </c>
      <c r="E18" s="7">
        <f t="shared" si="1"/>
        <v>49.24</v>
      </c>
      <c r="F18" s="7">
        <v>2575</v>
      </c>
      <c r="G18" s="7">
        <f t="shared" si="2"/>
        <v>35.72</v>
      </c>
      <c r="H18" s="7">
        <v>888</v>
      </c>
      <c r="I18" s="7">
        <f t="shared" si="3"/>
        <v>12.32</v>
      </c>
      <c r="J18" s="7">
        <v>100</v>
      </c>
      <c r="K18" s="7">
        <f t="shared" si="4"/>
        <v>1.39</v>
      </c>
      <c r="L18" s="7">
        <v>96</v>
      </c>
      <c r="M18" s="7">
        <f t="shared" si="5"/>
        <v>1.33</v>
      </c>
    </row>
    <row r="19" spans="1:13">
      <c r="A19" s="5">
        <v>16</v>
      </c>
      <c r="B19" s="6" t="s">
        <v>29</v>
      </c>
      <c r="C19" s="7">
        <f t="shared" si="0"/>
        <v>8882</v>
      </c>
      <c r="D19" s="7">
        <v>5034</v>
      </c>
      <c r="E19" s="7">
        <f t="shared" si="1"/>
        <v>56.68</v>
      </c>
      <c r="F19" s="7">
        <v>2821</v>
      </c>
      <c r="G19" s="7">
        <f t="shared" si="2"/>
        <v>31.76</v>
      </c>
      <c r="H19" s="7">
        <v>745</v>
      </c>
      <c r="I19" s="7">
        <f t="shared" si="3"/>
        <v>8.39</v>
      </c>
      <c r="J19" s="7">
        <v>119</v>
      </c>
      <c r="K19" s="7">
        <f t="shared" si="4"/>
        <v>1.34</v>
      </c>
      <c r="L19" s="7">
        <v>163</v>
      </c>
      <c r="M19" s="7">
        <f t="shared" si="5"/>
        <v>1.84</v>
      </c>
    </row>
    <row r="20" spans="1:13">
      <c r="A20" s="5">
        <v>17</v>
      </c>
      <c r="B20" s="6" t="s">
        <v>30</v>
      </c>
      <c r="C20" s="7">
        <f t="shared" si="0"/>
        <v>158066</v>
      </c>
      <c r="D20" s="7">
        <v>62200</v>
      </c>
      <c r="E20" s="7">
        <f t="shared" si="1"/>
        <v>39.35</v>
      </c>
      <c r="F20" s="7">
        <v>54380</v>
      </c>
      <c r="G20" s="7">
        <f t="shared" si="2"/>
        <v>34.4</v>
      </c>
      <c r="H20" s="7">
        <v>33713</v>
      </c>
      <c r="I20" s="7">
        <f t="shared" si="3"/>
        <v>21.33</v>
      </c>
      <c r="J20" s="7">
        <v>4068</v>
      </c>
      <c r="K20" s="7">
        <f t="shared" si="4"/>
        <v>2.57</v>
      </c>
      <c r="L20" s="7">
        <v>3705</v>
      </c>
      <c r="M20" s="7">
        <f t="shared" si="5"/>
        <v>2.34</v>
      </c>
    </row>
    <row r="21" spans="1:13">
      <c r="A21" s="5">
        <v>18</v>
      </c>
      <c r="B21" s="6" t="s">
        <v>31</v>
      </c>
      <c r="C21" s="7">
        <f t="shared" si="0"/>
        <v>117615</v>
      </c>
      <c r="D21" s="7">
        <v>53333</v>
      </c>
      <c r="E21" s="7">
        <f t="shared" si="1"/>
        <v>45.35</v>
      </c>
      <c r="F21" s="7">
        <v>50422</v>
      </c>
      <c r="G21" s="7">
        <f t="shared" si="2"/>
        <v>42.87</v>
      </c>
      <c r="H21" s="7">
        <v>9048</v>
      </c>
      <c r="I21" s="7">
        <f t="shared" si="3"/>
        <v>7.69</v>
      </c>
      <c r="J21" s="7">
        <v>1675</v>
      </c>
      <c r="K21" s="7">
        <f t="shared" si="4"/>
        <v>1.42</v>
      </c>
      <c r="L21" s="7">
        <v>3137</v>
      </c>
      <c r="M21" s="7">
        <f t="shared" si="5"/>
        <v>2.67</v>
      </c>
    </row>
    <row r="22" spans="1:13">
      <c r="A22" s="5">
        <v>19</v>
      </c>
      <c r="B22" s="6" t="s">
        <v>32</v>
      </c>
      <c r="C22" s="7">
        <f t="shared" si="0"/>
        <v>91915</v>
      </c>
      <c r="D22" s="7">
        <v>33862</v>
      </c>
      <c r="E22" s="7">
        <f t="shared" si="1"/>
        <v>36.840000000000003</v>
      </c>
      <c r="F22" s="7">
        <v>35032</v>
      </c>
      <c r="G22" s="7">
        <f t="shared" si="2"/>
        <v>38.11</v>
      </c>
      <c r="H22" s="7">
        <v>18259</v>
      </c>
      <c r="I22" s="7">
        <f t="shared" si="3"/>
        <v>19.87</v>
      </c>
      <c r="J22" s="7">
        <v>2044</v>
      </c>
      <c r="K22" s="7">
        <f t="shared" si="4"/>
        <v>2.2200000000000002</v>
      </c>
      <c r="L22" s="7">
        <v>2718</v>
      </c>
      <c r="M22" s="7">
        <f t="shared" si="5"/>
        <v>2.96</v>
      </c>
    </row>
    <row r="23" spans="1:13">
      <c r="A23" s="5">
        <v>20</v>
      </c>
      <c r="B23" s="6" t="s">
        <v>33</v>
      </c>
      <c r="C23" s="7">
        <f t="shared" si="0"/>
        <v>104329</v>
      </c>
      <c r="D23" s="7">
        <v>39271</v>
      </c>
      <c r="E23" s="7">
        <f t="shared" si="1"/>
        <v>37.64</v>
      </c>
      <c r="F23" s="7">
        <v>40386</v>
      </c>
      <c r="G23" s="7">
        <f t="shared" si="2"/>
        <v>38.71</v>
      </c>
      <c r="H23" s="7">
        <v>18163</v>
      </c>
      <c r="I23" s="7">
        <f t="shared" si="3"/>
        <v>17.41</v>
      </c>
      <c r="J23" s="7">
        <v>2423</v>
      </c>
      <c r="K23" s="7">
        <f t="shared" si="4"/>
        <v>2.3199999999999998</v>
      </c>
      <c r="L23" s="7">
        <v>4086</v>
      </c>
      <c r="M23" s="7">
        <f t="shared" si="5"/>
        <v>3.92</v>
      </c>
    </row>
    <row r="24" spans="1:13">
      <c r="A24" s="5">
        <v>21</v>
      </c>
      <c r="B24" s="6" t="s">
        <v>34</v>
      </c>
      <c r="C24" s="7">
        <f t="shared" si="0"/>
        <v>147021</v>
      </c>
      <c r="D24" s="7">
        <v>65342</v>
      </c>
      <c r="E24" s="7">
        <f t="shared" si="1"/>
        <v>44.44</v>
      </c>
      <c r="F24" s="7">
        <v>60810</v>
      </c>
      <c r="G24" s="7">
        <f t="shared" si="2"/>
        <v>41.36</v>
      </c>
      <c r="H24" s="7">
        <v>14793</v>
      </c>
      <c r="I24" s="7">
        <f t="shared" si="3"/>
        <v>10.06</v>
      </c>
      <c r="J24" s="7">
        <v>2067</v>
      </c>
      <c r="K24" s="7">
        <f t="shared" si="4"/>
        <v>1.41</v>
      </c>
      <c r="L24" s="7">
        <v>4009</v>
      </c>
      <c r="M24" s="7">
        <f t="shared" si="5"/>
        <v>2.73</v>
      </c>
    </row>
    <row r="25" spans="1:13">
      <c r="A25" s="5">
        <v>22</v>
      </c>
      <c r="B25" s="6" t="s">
        <v>35</v>
      </c>
      <c r="C25" s="7">
        <f t="shared" si="0"/>
        <v>96736</v>
      </c>
      <c r="D25" s="7">
        <v>52037</v>
      </c>
      <c r="E25" s="7">
        <f t="shared" si="1"/>
        <v>53.79</v>
      </c>
      <c r="F25" s="7">
        <v>35623</v>
      </c>
      <c r="G25" s="7">
        <f t="shared" si="2"/>
        <v>36.82</v>
      </c>
      <c r="H25" s="7">
        <v>5548</v>
      </c>
      <c r="I25" s="7">
        <f t="shared" si="3"/>
        <v>5.74</v>
      </c>
      <c r="J25" s="7">
        <v>1243</v>
      </c>
      <c r="K25" s="7">
        <f t="shared" si="4"/>
        <v>1.28</v>
      </c>
      <c r="L25" s="7">
        <v>2285</v>
      </c>
      <c r="M25" s="7">
        <f t="shared" si="5"/>
        <v>2.36</v>
      </c>
    </row>
    <row r="26" spans="1:13">
      <c r="A26" s="5">
        <v>23</v>
      </c>
      <c r="B26" s="6" t="s">
        <v>36</v>
      </c>
      <c r="C26" s="7">
        <f t="shared" si="0"/>
        <v>142296</v>
      </c>
      <c r="D26" s="7">
        <v>66920</v>
      </c>
      <c r="E26" s="7">
        <f t="shared" si="1"/>
        <v>47.03</v>
      </c>
      <c r="F26" s="7">
        <v>50682</v>
      </c>
      <c r="G26" s="7">
        <f t="shared" si="2"/>
        <v>35.619999999999997</v>
      </c>
      <c r="H26" s="7">
        <v>18356</v>
      </c>
      <c r="I26" s="7">
        <f t="shared" si="3"/>
        <v>12.9</v>
      </c>
      <c r="J26" s="7">
        <v>1777</v>
      </c>
      <c r="K26" s="7">
        <f t="shared" si="4"/>
        <v>1.25</v>
      </c>
      <c r="L26" s="7">
        <v>4561</v>
      </c>
      <c r="M26" s="7">
        <f t="shared" si="5"/>
        <v>3.21</v>
      </c>
    </row>
    <row r="27" spans="1:13">
      <c r="A27" s="5">
        <v>24</v>
      </c>
      <c r="B27" s="6" t="s">
        <v>37</v>
      </c>
      <c r="C27" s="7">
        <f t="shared" si="0"/>
        <v>134949</v>
      </c>
      <c r="D27" s="7">
        <v>56894</v>
      </c>
      <c r="E27" s="7">
        <f t="shared" si="1"/>
        <v>42.16</v>
      </c>
      <c r="F27" s="7">
        <v>46370</v>
      </c>
      <c r="G27" s="7">
        <f t="shared" si="2"/>
        <v>34.36</v>
      </c>
      <c r="H27" s="7">
        <v>25016</v>
      </c>
      <c r="I27" s="7">
        <f t="shared" si="3"/>
        <v>18.54</v>
      </c>
      <c r="J27" s="7">
        <v>2916</v>
      </c>
      <c r="K27" s="7">
        <f t="shared" si="4"/>
        <v>2.16</v>
      </c>
      <c r="L27" s="7">
        <v>3753</v>
      </c>
      <c r="M27" s="7">
        <f t="shared" si="5"/>
        <v>2.78</v>
      </c>
    </row>
    <row r="28" spans="1:13">
      <c r="A28" s="5">
        <v>25</v>
      </c>
      <c r="B28" s="6" t="s">
        <v>38</v>
      </c>
      <c r="C28" s="7">
        <f t="shared" si="0"/>
        <v>126031</v>
      </c>
      <c r="D28" s="7">
        <v>44219</v>
      </c>
      <c r="E28" s="7">
        <f t="shared" si="1"/>
        <v>35.090000000000003</v>
      </c>
      <c r="F28" s="7">
        <v>49120</v>
      </c>
      <c r="G28" s="7">
        <f t="shared" si="2"/>
        <v>38.97</v>
      </c>
      <c r="H28" s="7">
        <v>22825</v>
      </c>
      <c r="I28" s="7">
        <f t="shared" si="3"/>
        <v>18.11</v>
      </c>
      <c r="J28" s="7">
        <v>3590</v>
      </c>
      <c r="K28" s="7">
        <f t="shared" si="4"/>
        <v>2.85</v>
      </c>
      <c r="L28" s="7">
        <v>6277</v>
      </c>
      <c r="M28" s="7">
        <f t="shared" si="5"/>
        <v>4.9800000000000004</v>
      </c>
    </row>
    <row r="29" spans="1:13">
      <c r="A29" s="5">
        <v>26</v>
      </c>
      <c r="B29" s="6" t="s">
        <v>39</v>
      </c>
      <c r="C29" s="7">
        <f t="shared" si="0"/>
        <v>114685</v>
      </c>
      <c r="D29" s="7">
        <v>41724</v>
      </c>
      <c r="E29" s="7">
        <f t="shared" si="1"/>
        <v>36.380000000000003</v>
      </c>
      <c r="F29" s="7">
        <v>45165</v>
      </c>
      <c r="G29" s="7">
        <f t="shared" si="2"/>
        <v>39.380000000000003</v>
      </c>
      <c r="H29" s="7">
        <v>21257</v>
      </c>
      <c r="I29" s="7">
        <f t="shared" si="3"/>
        <v>18.54</v>
      </c>
      <c r="J29" s="7">
        <v>2839</v>
      </c>
      <c r="K29" s="7">
        <f t="shared" si="4"/>
        <v>2.48</v>
      </c>
      <c r="L29" s="7">
        <v>3700</v>
      </c>
      <c r="M29" s="7">
        <f t="shared" si="5"/>
        <v>3.23</v>
      </c>
    </row>
    <row r="30" spans="1:13">
      <c r="A30" s="5">
        <v>27</v>
      </c>
      <c r="B30" s="6" t="s">
        <v>40</v>
      </c>
      <c r="C30" s="7">
        <f t="shared" si="0"/>
        <v>201821</v>
      </c>
      <c r="D30" s="7">
        <v>85056</v>
      </c>
      <c r="E30" s="7">
        <f t="shared" si="1"/>
        <v>42.14</v>
      </c>
      <c r="F30" s="7">
        <v>69551</v>
      </c>
      <c r="G30" s="7">
        <f t="shared" si="2"/>
        <v>34.46</v>
      </c>
      <c r="H30" s="7">
        <v>35988</v>
      </c>
      <c r="I30" s="7">
        <f t="shared" si="3"/>
        <v>17.829999999999998</v>
      </c>
      <c r="J30" s="7">
        <v>5207</v>
      </c>
      <c r="K30" s="7">
        <f t="shared" si="4"/>
        <v>2.58</v>
      </c>
      <c r="L30" s="7">
        <v>6019</v>
      </c>
      <c r="M30" s="7">
        <f t="shared" si="5"/>
        <v>2.98</v>
      </c>
    </row>
    <row r="31" spans="1:13">
      <c r="A31" s="5">
        <v>28</v>
      </c>
      <c r="B31" s="6" t="s">
        <v>41</v>
      </c>
      <c r="C31" s="7">
        <f t="shared" si="0"/>
        <v>211485</v>
      </c>
      <c r="D31" s="7">
        <v>77059</v>
      </c>
      <c r="E31" s="7">
        <f t="shared" si="1"/>
        <v>36.44</v>
      </c>
      <c r="F31" s="7">
        <v>86569</v>
      </c>
      <c r="G31" s="7">
        <f t="shared" si="2"/>
        <v>40.93</v>
      </c>
      <c r="H31" s="7">
        <v>39190</v>
      </c>
      <c r="I31" s="7">
        <f t="shared" si="3"/>
        <v>18.53</v>
      </c>
      <c r="J31" s="7">
        <v>3247</v>
      </c>
      <c r="K31" s="7">
        <f t="shared" si="4"/>
        <v>1.54</v>
      </c>
      <c r="L31" s="7">
        <v>5420</v>
      </c>
      <c r="M31" s="7">
        <f t="shared" si="5"/>
        <v>2.56</v>
      </c>
    </row>
    <row r="32" spans="1:13">
      <c r="A32" s="5">
        <v>29</v>
      </c>
      <c r="B32" s="6" t="s">
        <v>42</v>
      </c>
      <c r="C32" s="7">
        <f t="shared" si="0"/>
        <v>39575</v>
      </c>
      <c r="D32" s="7">
        <v>13526</v>
      </c>
      <c r="E32" s="7">
        <f t="shared" si="1"/>
        <v>34.18</v>
      </c>
      <c r="F32" s="7">
        <v>14523</v>
      </c>
      <c r="G32" s="7">
        <f t="shared" si="2"/>
        <v>36.700000000000003</v>
      </c>
      <c r="H32" s="7">
        <v>8788</v>
      </c>
      <c r="I32" s="7">
        <f t="shared" si="3"/>
        <v>22.21</v>
      </c>
      <c r="J32" s="7">
        <v>1343</v>
      </c>
      <c r="K32" s="7">
        <f t="shared" si="4"/>
        <v>3.39</v>
      </c>
      <c r="L32" s="7">
        <v>1395</v>
      </c>
      <c r="M32" s="7">
        <f t="shared" si="5"/>
        <v>3.52</v>
      </c>
    </row>
    <row r="33" spans="1:13">
      <c r="A33" s="5">
        <v>30</v>
      </c>
      <c r="B33" s="6" t="s">
        <v>43</v>
      </c>
      <c r="C33" s="7">
        <f t="shared" si="0"/>
        <v>98370</v>
      </c>
      <c r="D33" s="7">
        <v>40427</v>
      </c>
      <c r="E33" s="7">
        <f t="shared" si="1"/>
        <v>41.1</v>
      </c>
      <c r="F33" s="7">
        <v>38190</v>
      </c>
      <c r="G33" s="7">
        <f t="shared" si="2"/>
        <v>38.82</v>
      </c>
      <c r="H33" s="7">
        <v>15960</v>
      </c>
      <c r="I33" s="7">
        <f t="shared" si="3"/>
        <v>16.22</v>
      </c>
      <c r="J33" s="7">
        <v>1770</v>
      </c>
      <c r="K33" s="7">
        <f t="shared" si="4"/>
        <v>1.8</v>
      </c>
      <c r="L33" s="7">
        <v>2023</v>
      </c>
      <c r="M33" s="7">
        <f t="shared" si="5"/>
        <v>2.06</v>
      </c>
    </row>
    <row r="34" spans="1:13">
      <c r="A34" s="5">
        <v>31</v>
      </c>
      <c r="B34" s="6" t="s">
        <v>44</v>
      </c>
      <c r="C34" s="7">
        <f t="shared" si="0"/>
        <v>79933</v>
      </c>
      <c r="D34" s="7">
        <v>32255</v>
      </c>
      <c r="E34" s="7">
        <f t="shared" si="1"/>
        <v>40.35</v>
      </c>
      <c r="F34" s="7">
        <v>26342</v>
      </c>
      <c r="G34" s="7">
        <f t="shared" si="2"/>
        <v>32.96</v>
      </c>
      <c r="H34" s="7">
        <v>14975</v>
      </c>
      <c r="I34" s="7">
        <f t="shared" si="3"/>
        <v>18.73</v>
      </c>
      <c r="J34" s="7">
        <v>2277</v>
      </c>
      <c r="K34" s="7">
        <f t="shared" si="4"/>
        <v>2.85</v>
      </c>
      <c r="L34" s="7">
        <v>4084</v>
      </c>
      <c r="M34" s="7">
        <f t="shared" si="5"/>
        <v>5.1100000000000003</v>
      </c>
    </row>
    <row r="35" spans="1:13">
      <c r="A35" s="5">
        <v>32</v>
      </c>
      <c r="B35" s="6" t="s">
        <v>45</v>
      </c>
      <c r="C35" s="7">
        <f t="shared" si="0"/>
        <v>60855</v>
      </c>
      <c r="D35" s="7">
        <v>27602</v>
      </c>
      <c r="E35" s="7">
        <f t="shared" si="1"/>
        <v>45.36</v>
      </c>
      <c r="F35" s="7">
        <v>26274</v>
      </c>
      <c r="G35" s="7">
        <f t="shared" si="2"/>
        <v>43.17</v>
      </c>
      <c r="H35" s="7">
        <v>4597</v>
      </c>
      <c r="I35" s="7">
        <f t="shared" si="3"/>
        <v>7.55</v>
      </c>
      <c r="J35" s="7">
        <v>789</v>
      </c>
      <c r="K35" s="7">
        <f t="shared" si="4"/>
        <v>1.3</v>
      </c>
      <c r="L35" s="7">
        <v>1593</v>
      </c>
      <c r="M35" s="7">
        <f t="shared" si="5"/>
        <v>2.62</v>
      </c>
    </row>
    <row r="36" spans="1:13">
      <c r="A36" s="5">
        <v>33</v>
      </c>
      <c r="B36" s="6" t="s">
        <v>46</v>
      </c>
      <c r="C36" s="7">
        <f t="shared" ref="C36:C67" si="6">D36+F36+H36+J36+L36</f>
        <v>65055</v>
      </c>
      <c r="D36" s="7">
        <v>27274</v>
      </c>
      <c r="E36" s="7">
        <f t="shared" ref="E36:E67" si="7">ROUND(D36/$C36*100,2)</f>
        <v>41.92</v>
      </c>
      <c r="F36" s="7">
        <v>25210</v>
      </c>
      <c r="G36" s="7">
        <f t="shared" ref="G36:G67" si="8">ROUND(F36/$C36*100,2)</f>
        <v>38.75</v>
      </c>
      <c r="H36" s="7">
        <v>9889</v>
      </c>
      <c r="I36" s="7">
        <f t="shared" ref="I36:I67" si="9">ROUND(H36/$C36*100,2)</f>
        <v>15.2</v>
      </c>
      <c r="J36" s="7">
        <v>830</v>
      </c>
      <c r="K36" s="7">
        <f t="shared" ref="K36:K67" si="10">ROUND(J36/$C36*100,2)</f>
        <v>1.28</v>
      </c>
      <c r="L36" s="7">
        <v>1852</v>
      </c>
      <c r="M36" s="7">
        <f t="shared" ref="M36:M67" si="11">ROUND(L36/$C36*100,2)</f>
        <v>2.85</v>
      </c>
    </row>
    <row r="37" spans="1:13">
      <c r="A37" s="5">
        <v>34</v>
      </c>
      <c r="B37" s="6" t="s">
        <v>47</v>
      </c>
      <c r="C37" s="7">
        <f t="shared" si="6"/>
        <v>74413</v>
      </c>
      <c r="D37" s="7">
        <v>28746</v>
      </c>
      <c r="E37" s="7">
        <f t="shared" si="7"/>
        <v>38.630000000000003</v>
      </c>
      <c r="F37" s="7">
        <v>28291</v>
      </c>
      <c r="G37" s="7">
        <f t="shared" si="8"/>
        <v>38.020000000000003</v>
      </c>
      <c r="H37" s="7">
        <v>13859</v>
      </c>
      <c r="I37" s="7">
        <f t="shared" si="9"/>
        <v>18.62</v>
      </c>
      <c r="J37" s="7">
        <v>1443</v>
      </c>
      <c r="K37" s="7">
        <f t="shared" si="10"/>
        <v>1.94</v>
      </c>
      <c r="L37" s="7">
        <v>2074</v>
      </c>
      <c r="M37" s="7">
        <f t="shared" si="11"/>
        <v>2.79</v>
      </c>
    </row>
    <row r="38" spans="1:13">
      <c r="A38" s="5">
        <v>35</v>
      </c>
      <c r="B38" s="6" t="s">
        <v>48</v>
      </c>
      <c r="C38" s="7">
        <f t="shared" si="6"/>
        <v>228898</v>
      </c>
      <c r="D38" s="7">
        <v>122401</v>
      </c>
      <c r="E38" s="7">
        <f t="shared" si="7"/>
        <v>53.47</v>
      </c>
      <c r="F38" s="7">
        <v>61209</v>
      </c>
      <c r="G38" s="7">
        <f t="shared" si="8"/>
        <v>26.74</v>
      </c>
      <c r="H38" s="7">
        <v>32241</v>
      </c>
      <c r="I38" s="7">
        <f t="shared" si="9"/>
        <v>14.09</v>
      </c>
      <c r="J38" s="7">
        <v>4999</v>
      </c>
      <c r="K38" s="7">
        <f t="shared" si="10"/>
        <v>2.1800000000000002</v>
      </c>
      <c r="L38" s="7">
        <v>8048</v>
      </c>
      <c r="M38" s="7">
        <f t="shared" si="11"/>
        <v>3.52</v>
      </c>
    </row>
    <row r="39" spans="1:13">
      <c r="A39" s="5">
        <v>36</v>
      </c>
      <c r="B39" s="6" t="s">
        <v>49</v>
      </c>
      <c r="C39" s="7">
        <f t="shared" si="6"/>
        <v>121983</v>
      </c>
      <c r="D39" s="7">
        <v>50387</v>
      </c>
      <c r="E39" s="7">
        <f t="shared" si="7"/>
        <v>41.31</v>
      </c>
      <c r="F39" s="7">
        <v>45259</v>
      </c>
      <c r="G39" s="7">
        <f t="shared" si="8"/>
        <v>37.1</v>
      </c>
      <c r="H39" s="7">
        <v>19906</v>
      </c>
      <c r="I39" s="7">
        <f t="shared" si="9"/>
        <v>16.32</v>
      </c>
      <c r="J39" s="7">
        <v>2755</v>
      </c>
      <c r="K39" s="7">
        <f t="shared" si="10"/>
        <v>2.2599999999999998</v>
      </c>
      <c r="L39" s="7">
        <v>3676</v>
      </c>
      <c r="M39" s="7">
        <f t="shared" si="11"/>
        <v>3.01</v>
      </c>
    </row>
    <row r="40" spans="1:13">
      <c r="A40" s="5">
        <v>37</v>
      </c>
      <c r="B40" s="6" t="s">
        <v>50</v>
      </c>
      <c r="C40" s="7">
        <f t="shared" si="6"/>
        <v>108150</v>
      </c>
      <c r="D40" s="7">
        <v>49269</v>
      </c>
      <c r="E40" s="7">
        <f t="shared" si="7"/>
        <v>45.56</v>
      </c>
      <c r="F40" s="7">
        <v>48264</v>
      </c>
      <c r="G40" s="7">
        <f t="shared" si="8"/>
        <v>44.63</v>
      </c>
      <c r="H40" s="7">
        <v>7057</v>
      </c>
      <c r="I40" s="7">
        <f t="shared" si="9"/>
        <v>6.53</v>
      </c>
      <c r="J40" s="7">
        <v>1101</v>
      </c>
      <c r="K40" s="7">
        <f t="shared" si="10"/>
        <v>1.02</v>
      </c>
      <c r="L40" s="7">
        <v>2459</v>
      </c>
      <c r="M40" s="7">
        <f t="shared" si="11"/>
        <v>2.27</v>
      </c>
    </row>
    <row r="41" spans="1:13">
      <c r="A41" s="5">
        <v>38</v>
      </c>
      <c r="B41" s="6" t="s">
        <v>51</v>
      </c>
      <c r="C41" s="7">
        <f t="shared" si="6"/>
        <v>94490</v>
      </c>
      <c r="D41" s="7">
        <v>31517</v>
      </c>
      <c r="E41" s="7">
        <f t="shared" si="7"/>
        <v>33.35</v>
      </c>
      <c r="F41" s="7">
        <v>45094</v>
      </c>
      <c r="G41" s="7">
        <f t="shared" si="8"/>
        <v>47.72</v>
      </c>
      <c r="H41" s="7">
        <v>14282</v>
      </c>
      <c r="I41" s="7">
        <f t="shared" si="9"/>
        <v>15.11</v>
      </c>
      <c r="J41" s="7">
        <v>1082</v>
      </c>
      <c r="K41" s="7">
        <f t="shared" si="10"/>
        <v>1.1499999999999999</v>
      </c>
      <c r="L41" s="7">
        <v>2515</v>
      </c>
      <c r="M41" s="7">
        <f t="shared" si="11"/>
        <v>2.66</v>
      </c>
    </row>
    <row r="42" spans="1:13">
      <c r="A42" s="5">
        <v>39</v>
      </c>
      <c r="B42" s="6" t="s">
        <v>52</v>
      </c>
      <c r="C42" s="7">
        <f t="shared" si="6"/>
        <v>176562</v>
      </c>
      <c r="D42" s="7">
        <v>70313</v>
      </c>
      <c r="E42" s="7">
        <f t="shared" si="7"/>
        <v>39.82</v>
      </c>
      <c r="F42" s="7">
        <v>61289</v>
      </c>
      <c r="G42" s="7">
        <f t="shared" si="8"/>
        <v>34.71</v>
      </c>
      <c r="H42" s="7">
        <v>35929</v>
      </c>
      <c r="I42" s="7">
        <f t="shared" si="9"/>
        <v>20.350000000000001</v>
      </c>
      <c r="J42" s="7">
        <v>3955</v>
      </c>
      <c r="K42" s="7">
        <f t="shared" si="10"/>
        <v>2.2400000000000002</v>
      </c>
      <c r="L42" s="7">
        <v>5076</v>
      </c>
      <c r="M42" s="7">
        <f t="shared" si="11"/>
        <v>2.87</v>
      </c>
    </row>
    <row r="43" spans="1:13">
      <c r="A43" s="5">
        <v>40</v>
      </c>
      <c r="B43" s="6" t="s">
        <v>53</v>
      </c>
      <c r="C43" s="7">
        <f t="shared" si="6"/>
        <v>167808</v>
      </c>
      <c r="D43" s="7">
        <v>75859</v>
      </c>
      <c r="E43" s="7">
        <f t="shared" si="7"/>
        <v>45.21</v>
      </c>
      <c r="F43" s="7">
        <v>56729</v>
      </c>
      <c r="G43" s="7">
        <f t="shared" si="8"/>
        <v>33.81</v>
      </c>
      <c r="H43" s="7">
        <v>27850</v>
      </c>
      <c r="I43" s="7">
        <f t="shared" si="9"/>
        <v>16.600000000000001</v>
      </c>
      <c r="J43" s="7">
        <v>3447</v>
      </c>
      <c r="K43" s="7">
        <f t="shared" si="10"/>
        <v>2.0499999999999998</v>
      </c>
      <c r="L43" s="7">
        <v>3923</v>
      </c>
      <c r="M43" s="7">
        <f t="shared" si="11"/>
        <v>2.34</v>
      </c>
    </row>
    <row r="44" spans="1:13">
      <c r="A44" s="5">
        <v>41</v>
      </c>
      <c r="B44" s="6" t="s">
        <v>54</v>
      </c>
      <c r="C44" s="7">
        <f t="shared" si="6"/>
        <v>163191</v>
      </c>
      <c r="D44" s="7">
        <v>76051</v>
      </c>
      <c r="E44" s="7">
        <f t="shared" si="7"/>
        <v>46.6</v>
      </c>
      <c r="F44" s="7">
        <v>55350</v>
      </c>
      <c r="G44" s="7">
        <f t="shared" si="8"/>
        <v>33.92</v>
      </c>
      <c r="H44" s="7">
        <v>28317</v>
      </c>
      <c r="I44" s="7">
        <f t="shared" si="9"/>
        <v>17.350000000000001</v>
      </c>
      <c r="J44" s="7">
        <v>3473</v>
      </c>
      <c r="K44" s="7">
        <f t="shared" si="10"/>
        <v>2.13</v>
      </c>
      <c r="L44" s="7">
        <v>0</v>
      </c>
      <c r="M44" s="7">
        <f t="shared" si="11"/>
        <v>0</v>
      </c>
    </row>
    <row r="45" spans="1:13">
      <c r="A45" s="5">
        <v>42</v>
      </c>
      <c r="B45" s="6" t="s">
        <v>55</v>
      </c>
      <c r="C45" s="7">
        <f t="shared" si="6"/>
        <v>135012</v>
      </c>
      <c r="D45" s="7">
        <v>46640</v>
      </c>
      <c r="E45" s="7">
        <f t="shared" si="7"/>
        <v>34.549999999999997</v>
      </c>
      <c r="F45" s="7">
        <v>51868</v>
      </c>
      <c r="G45" s="7">
        <f t="shared" si="8"/>
        <v>38.42</v>
      </c>
      <c r="H45" s="7">
        <v>30560</v>
      </c>
      <c r="I45" s="7">
        <f t="shared" si="9"/>
        <v>22.64</v>
      </c>
      <c r="J45" s="7">
        <v>3617</v>
      </c>
      <c r="K45" s="7">
        <f t="shared" si="10"/>
        <v>2.68</v>
      </c>
      <c r="L45" s="7">
        <v>2327</v>
      </c>
      <c r="M45" s="7">
        <f t="shared" si="11"/>
        <v>1.72</v>
      </c>
    </row>
    <row r="46" spans="1:13">
      <c r="A46" s="5">
        <v>43</v>
      </c>
      <c r="B46" s="6" t="s">
        <v>56</v>
      </c>
      <c r="C46" s="7">
        <f t="shared" si="6"/>
        <v>155679</v>
      </c>
      <c r="D46" s="7">
        <v>78752</v>
      </c>
      <c r="E46" s="7">
        <f t="shared" si="7"/>
        <v>50.59</v>
      </c>
      <c r="F46" s="7">
        <v>48408</v>
      </c>
      <c r="G46" s="7">
        <f t="shared" si="8"/>
        <v>31.09</v>
      </c>
      <c r="H46" s="7">
        <v>19985</v>
      </c>
      <c r="I46" s="7">
        <f t="shared" si="9"/>
        <v>12.84</v>
      </c>
      <c r="J46" s="7">
        <v>4166</v>
      </c>
      <c r="K46" s="7">
        <f t="shared" si="10"/>
        <v>2.68</v>
      </c>
      <c r="L46" s="7">
        <v>4368</v>
      </c>
      <c r="M46" s="7">
        <f t="shared" si="11"/>
        <v>2.81</v>
      </c>
    </row>
    <row r="47" spans="1:13">
      <c r="A47" s="5">
        <v>44</v>
      </c>
      <c r="B47" s="6" t="s">
        <v>57</v>
      </c>
      <c r="C47" s="7">
        <f t="shared" si="6"/>
        <v>189087</v>
      </c>
      <c r="D47" s="7">
        <v>66779</v>
      </c>
      <c r="E47" s="7">
        <f t="shared" si="7"/>
        <v>35.32</v>
      </c>
      <c r="F47" s="7">
        <v>65758</v>
      </c>
      <c r="G47" s="7">
        <f t="shared" si="8"/>
        <v>34.78</v>
      </c>
      <c r="H47" s="7">
        <v>41532</v>
      </c>
      <c r="I47" s="7">
        <f t="shared" si="9"/>
        <v>21.96</v>
      </c>
      <c r="J47" s="7">
        <v>7226</v>
      </c>
      <c r="K47" s="7">
        <f t="shared" si="10"/>
        <v>3.82</v>
      </c>
      <c r="L47" s="7">
        <v>7792</v>
      </c>
      <c r="M47" s="7">
        <f t="shared" si="11"/>
        <v>4.12</v>
      </c>
    </row>
    <row r="48" spans="1:13">
      <c r="A48" s="5">
        <v>45</v>
      </c>
      <c r="B48" s="6" t="s">
        <v>58</v>
      </c>
      <c r="C48" s="7">
        <f t="shared" si="6"/>
        <v>123780</v>
      </c>
      <c r="D48" s="7">
        <v>46813</v>
      </c>
      <c r="E48" s="7">
        <f t="shared" si="7"/>
        <v>37.82</v>
      </c>
      <c r="F48" s="7">
        <v>43241</v>
      </c>
      <c r="G48" s="7">
        <f t="shared" si="8"/>
        <v>34.93</v>
      </c>
      <c r="H48" s="7">
        <v>27177</v>
      </c>
      <c r="I48" s="7">
        <f t="shared" si="9"/>
        <v>21.96</v>
      </c>
      <c r="J48" s="7">
        <v>3120</v>
      </c>
      <c r="K48" s="7">
        <f t="shared" si="10"/>
        <v>2.52</v>
      </c>
      <c r="L48" s="7">
        <v>3429</v>
      </c>
      <c r="M48" s="7">
        <f t="shared" si="11"/>
        <v>2.77</v>
      </c>
    </row>
    <row r="49" spans="1:13">
      <c r="A49" s="5">
        <v>46</v>
      </c>
      <c r="B49" s="6" t="s">
        <v>59</v>
      </c>
      <c r="C49" s="7">
        <f t="shared" si="6"/>
        <v>122323</v>
      </c>
      <c r="D49" s="7">
        <v>41423</v>
      </c>
      <c r="E49" s="7">
        <f t="shared" si="7"/>
        <v>33.86</v>
      </c>
      <c r="F49" s="7">
        <v>46949</v>
      </c>
      <c r="G49" s="7">
        <f t="shared" si="8"/>
        <v>38.380000000000003</v>
      </c>
      <c r="H49" s="7">
        <v>25100</v>
      </c>
      <c r="I49" s="7">
        <f t="shared" si="9"/>
        <v>20.52</v>
      </c>
      <c r="J49" s="7">
        <v>4148</v>
      </c>
      <c r="K49" s="7">
        <f t="shared" si="10"/>
        <v>3.39</v>
      </c>
      <c r="L49" s="7">
        <v>4703</v>
      </c>
      <c r="M49" s="7">
        <f t="shared" si="11"/>
        <v>3.84</v>
      </c>
    </row>
    <row r="50" spans="1:13">
      <c r="A50" s="5">
        <v>47</v>
      </c>
      <c r="B50" s="6" t="s">
        <v>60</v>
      </c>
      <c r="C50" s="7">
        <f t="shared" si="6"/>
        <v>100354</v>
      </c>
      <c r="D50" s="7">
        <v>34522</v>
      </c>
      <c r="E50" s="7">
        <f t="shared" si="7"/>
        <v>34.4</v>
      </c>
      <c r="F50" s="7">
        <v>38770</v>
      </c>
      <c r="G50" s="7">
        <f t="shared" si="8"/>
        <v>38.630000000000003</v>
      </c>
      <c r="H50" s="7">
        <v>19047</v>
      </c>
      <c r="I50" s="7">
        <f t="shared" si="9"/>
        <v>18.98</v>
      </c>
      <c r="J50" s="7">
        <v>2761</v>
      </c>
      <c r="K50" s="7">
        <f t="shared" si="10"/>
        <v>2.75</v>
      </c>
      <c r="L50" s="7">
        <v>5254</v>
      </c>
      <c r="M50" s="7">
        <f t="shared" si="11"/>
        <v>5.24</v>
      </c>
    </row>
    <row r="51" spans="1:13">
      <c r="A51" s="5">
        <v>48</v>
      </c>
      <c r="B51" s="6" t="s">
        <v>61</v>
      </c>
      <c r="C51" s="7">
        <f t="shared" si="6"/>
        <v>53877</v>
      </c>
      <c r="D51" s="7">
        <v>21359</v>
      </c>
      <c r="E51" s="7">
        <f t="shared" si="7"/>
        <v>39.64</v>
      </c>
      <c r="F51" s="7">
        <v>22796</v>
      </c>
      <c r="G51" s="7">
        <f t="shared" si="8"/>
        <v>42.31</v>
      </c>
      <c r="H51" s="7">
        <v>7994</v>
      </c>
      <c r="I51" s="7">
        <f t="shared" si="9"/>
        <v>14.84</v>
      </c>
      <c r="J51" s="7">
        <v>625</v>
      </c>
      <c r="K51" s="7">
        <f t="shared" si="10"/>
        <v>1.1599999999999999</v>
      </c>
      <c r="L51" s="7">
        <v>1103</v>
      </c>
      <c r="M51" s="7">
        <f t="shared" si="11"/>
        <v>2.0499999999999998</v>
      </c>
    </row>
    <row r="52" spans="1:13">
      <c r="A52" s="5">
        <v>49</v>
      </c>
      <c r="B52" s="6" t="s">
        <v>62</v>
      </c>
      <c r="C52" s="7">
        <f t="shared" si="6"/>
        <v>67942</v>
      </c>
      <c r="D52" s="7">
        <v>24867</v>
      </c>
      <c r="E52" s="7">
        <f t="shared" si="7"/>
        <v>36.6</v>
      </c>
      <c r="F52" s="7">
        <v>26958</v>
      </c>
      <c r="G52" s="7">
        <f t="shared" si="8"/>
        <v>39.68</v>
      </c>
      <c r="H52" s="7">
        <v>13291</v>
      </c>
      <c r="I52" s="7">
        <f t="shared" si="9"/>
        <v>19.559999999999999</v>
      </c>
      <c r="J52" s="7">
        <v>1078</v>
      </c>
      <c r="K52" s="7">
        <f t="shared" si="10"/>
        <v>1.59</v>
      </c>
      <c r="L52" s="7">
        <v>1748</v>
      </c>
      <c r="M52" s="7">
        <f t="shared" si="11"/>
        <v>2.57</v>
      </c>
    </row>
    <row r="53" spans="1:13">
      <c r="A53" s="5">
        <v>50</v>
      </c>
      <c r="B53" s="6" t="s">
        <v>63</v>
      </c>
      <c r="C53" s="7">
        <f t="shared" si="6"/>
        <v>54481</v>
      </c>
      <c r="D53" s="7">
        <v>20064</v>
      </c>
      <c r="E53" s="7">
        <f t="shared" si="7"/>
        <v>36.83</v>
      </c>
      <c r="F53" s="7">
        <v>21449</v>
      </c>
      <c r="G53" s="7">
        <f t="shared" si="8"/>
        <v>39.369999999999997</v>
      </c>
      <c r="H53" s="7">
        <v>8149</v>
      </c>
      <c r="I53" s="7">
        <f t="shared" si="9"/>
        <v>14.96</v>
      </c>
      <c r="J53" s="7">
        <v>782</v>
      </c>
      <c r="K53" s="7">
        <f t="shared" si="10"/>
        <v>1.44</v>
      </c>
      <c r="L53" s="7">
        <v>4037</v>
      </c>
      <c r="M53" s="7">
        <f t="shared" si="11"/>
        <v>7.41</v>
      </c>
    </row>
    <row r="54" spans="1:13">
      <c r="A54" s="5">
        <v>51</v>
      </c>
      <c r="B54" s="6" t="s">
        <v>64</v>
      </c>
      <c r="C54" s="7">
        <f t="shared" si="6"/>
        <v>77508</v>
      </c>
      <c r="D54" s="7">
        <v>32010</v>
      </c>
      <c r="E54" s="7">
        <f t="shared" si="7"/>
        <v>41.3</v>
      </c>
      <c r="F54" s="7">
        <v>25411</v>
      </c>
      <c r="G54" s="7">
        <f t="shared" si="8"/>
        <v>32.79</v>
      </c>
      <c r="H54" s="7">
        <v>15541</v>
      </c>
      <c r="I54" s="7">
        <f t="shared" si="9"/>
        <v>20.05</v>
      </c>
      <c r="J54" s="7">
        <v>2408</v>
      </c>
      <c r="K54" s="7">
        <f t="shared" si="10"/>
        <v>3.11</v>
      </c>
      <c r="L54" s="7">
        <v>2138</v>
      </c>
      <c r="M54" s="7">
        <f t="shared" si="11"/>
        <v>2.76</v>
      </c>
    </row>
    <row r="55" spans="1:13">
      <c r="A55" s="5">
        <v>52</v>
      </c>
      <c r="B55" s="6" t="s">
        <v>65</v>
      </c>
      <c r="C55" s="7">
        <f t="shared" si="6"/>
        <v>65445</v>
      </c>
      <c r="D55" s="7">
        <v>24648</v>
      </c>
      <c r="E55" s="7">
        <f t="shared" si="7"/>
        <v>37.659999999999997</v>
      </c>
      <c r="F55" s="7">
        <v>22310</v>
      </c>
      <c r="G55" s="7">
        <f t="shared" si="8"/>
        <v>34.090000000000003</v>
      </c>
      <c r="H55" s="7">
        <v>14144</v>
      </c>
      <c r="I55" s="7">
        <f t="shared" si="9"/>
        <v>21.61</v>
      </c>
      <c r="J55" s="7">
        <v>1728</v>
      </c>
      <c r="K55" s="7">
        <f t="shared" si="10"/>
        <v>2.64</v>
      </c>
      <c r="L55" s="7">
        <v>2615</v>
      </c>
      <c r="M55" s="7">
        <f t="shared" si="11"/>
        <v>4</v>
      </c>
    </row>
    <row r="56" spans="1:13">
      <c r="A56" s="5">
        <v>53</v>
      </c>
      <c r="B56" s="6" t="s">
        <v>66</v>
      </c>
      <c r="C56" s="7">
        <f t="shared" si="6"/>
        <v>110779</v>
      </c>
      <c r="D56" s="7">
        <v>42089</v>
      </c>
      <c r="E56" s="7">
        <f t="shared" si="7"/>
        <v>37.99</v>
      </c>
      <c r="F56" s="7">
        <v>51095</v>
      </c>
      <c r="G56" s="7">
        <f t="shared" si="8"/>
        <v>46.12</v>
      </c>
      <c r="H56" s="7">
        <v>11830</v>
      </c>
      <c r="I56" s="7">
        <f t="shared" si="9"/>
        <v>10.68</v>
      </c>
      <c r="J56" s="7">
        <v>2802</v>
      </c>
      <c r="K56" s="7">
        <f t="shared" si="10"/>
        <v>2.5299999999999998</v>
      </c>
      <c r="L56" s="7">
        <v>2963</v>
      </c>
      <c r="M56" s="7">
        <f t="shared" si="11"/>
        <v>2.67</v>
      </c>
    </row>
    <row r="57" spans="1:13">
      <c r="A57" s="5">
        <v>54</v>
      </c>
      <c r="B57" s="6" t="s">
        <v>67</v>
      </c>
      <c r="C57" s="7">
        <f t="shared" si="6"/>
        <v>82649</v>
      </c>
      <c r="D57" s="7">
        <v>28435</v>
      </c>
      <c r="E57" s="7">
        <f t="shared" si="7"/>
        <v>34.4</v>
      </c>
      <c r="F57" s="7">
        <v>29462</v>
      </c>
      <c r="G57" s="7">
        <f t="shared" si="8"/>
        <v>35.65</v>
      </c>
      <c r="H57" s="7">
        <v>18234</v>
      </c>
      <c r="I57" s="7">
        <f t="shared" si="9"/>
        <v>22.06</v>
      </c>
      <c r="J57" s="7">
        <v>2602</v>
      </c>
      <c r="K57" s="7">
        <f t="shared" si="10"/>
        <v>3.15</v>
      </c>
      <c r="L57" s="7">
        <v>3916</v>
      </c>
      <c r="M57" s="7">
        <f t="shared" si="11"/>
        <v>4.74</v>
      </c>
    </row>
  </sheetData>
  <mergeCells count="1">
    <mergeCell ref="A1:D1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Normal="100" workbookViewId="0"/>
  </sheetViews>
  <sheetFormatPr defaultColWidth="8.7109375" defaultRowHeight="15"/>
  <cols>
    <col min="1" max="1" width="8" customWidth="1"/>
    <col min="2" max="2" width="16" customWidth="1"/>
    <col min="3" max="3" width="40" customWidth="1"/>
  </cols>
  <sheetData>
    <row r="1" spans="1:3">
      <c r="A1" s="1" t="s">
        <v>68</v>
      </c>
      <c r="B1" s="1"/>
      <c r="C1" s="1"/>
    </row>
    <row r="3" spans="1:3">
      <c r="A3" s="8" t="s">
        <v>1</v>
      </c>
      <c r="B3" s="8" t="s">
        <v>69</v>
      </c>
      <c r="C3" s="8" t="s">
        <v>70</v>
      </c>
    </row>
  </sheetData>
  <mergeCells count="1">
    <mergeCell ref="A1:C1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학점분포(전공+교양)</vt:lpstr>
      <vt:lpstr>제외된 대학(매칭 실패)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15ZB990-GP50ML</cp:lastModifiedBy>
  <cp:revision>0</cp:revision>
  <dcterms:created xsi:type="dcterms:W3CDTF">2026-07-09T04:46:13Z</dcterms:created>
  <dcterms:modified xsi:type="dcterms:W3CDTF">2026-07-09T04:52:27Z</dcterms:modified>
  <dc:language>en-US</dc:language>
</cp:coreProperties>
</file>